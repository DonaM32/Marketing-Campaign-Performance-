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cuments/Dona Data Analysis course/"/>
    </mc:Choice>
  </mc:AlternateContent>
  <xr:revisionPtr revIDLastSave="0" documentId="13_ncr:1_{AF2012ED-6DF5-4A4E-8111-F5C618B9D9FB}" xr6:coauthVersionLast="40" xr6:coauthVersionMax="40" xr10:uidLastSave="{00000000-0000-0000-0000-000000000000}"/>
  <bookViews>
    <workbookView xWindow="1740" yWindow="2380" windowWidth="27640" windowHeight="16940" activeTab="5" xr2:uid="{F7E52E9C-0C75-964D-A047-2FDAF186D5BE}"/>
  </bookViews>
  <sheets>
    <sheet name="Conversions by Campaign " sheetId="2" r:id="rId1"/>
    <sheet name="ROI by Campaign" sheetId="4" r:id="rId2"/>
    <sheet name="ROI by Channel" sheetId="9" r:id="rId3"/>
    <sheet name="CTR and Conversion Rate" sheetId="10" r:id="rId4"/>
    <sheet name="Marketing Campaign Data" sheetId="1" r:id="rId5"/>
    <sheet name="Dashboard" sheetId="6" r:id="rId6"/>
  </sheets>
  <calcPr calcId="191029"/>
  <pivotCaches>
    <pivotCache cacheId="212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K3" i="1"/>
  <c r="K4" i="1"/>
  <c r="K5" i="1"/>
  <c r="K6" i="1"/>
  <c r="K7" i="1"/>
  <c r="K8" i="1"/>
  <c r="F6" i="6"/>
  <c r="E3" i="1" l="1"/>
  <c r="E4" i="1"/>
  <c r="E5" i="1"/>
  <c r="E6" i="1"/>
  <c r="E7" i="1"/>
  <c r="E8" i="1"/>
  <c r="F5" i="6"/>
  <c r="F4" i="6"/>
  <c r="F3" i="6"/>
</calcChain>
</file>

<file path=xl/sharedStrings.xml><?xml version="1.0" encoding="utf-8"?>
<sst xmlns="http://schemas.openxmlformats.org/spreadsheetml/2006/main" count="79" uniqueCount="36">
  <si>
    <t>Channel</t>
  </si>
  <si>
    <t>Start Date</t>
  </si>
  <si>
    <t>End Date</t>
  </si>
  <si>
    <t>Budget ($)</t>
  </si>
  <si>
    <t>Impressions</t>
  </si>
  <si>
    <t>Clicks</t>
  </si>
  <si>
    <t>Conversions</t>
  </si>
  <si>
    <t>Email</t>
  </si>
  <si>
    <t>Social Media</t>
  </si>
  <si>
    <t>Google Ads</t>
  </si>
  <si>
    <t>Instagram</t>
  </si>
  <si>
    <t>Campaign Name</t>
  </si>
  <si>
    <t>Spring Sale</t>
  </si>
  <si>
    <t>Holiday Promo</t>
  </si>
  <si>
    <t>Back to School</t>
  </si>
  <si>
    <t>Revenue ($)</t>
  </si>
  <si>
    <t>Row Labels</t>
  </si>
  <si>
    <t>Grand Total</t>
  </si>
  <si>
    <t>Sum of Impressions</t>
  </si>
  <si>
    <t>Sum of Conversions</t>
  </si>
  <si>
    <t>Sum of Clicks</t>
  </si>
  <si>
    <t>Sum of Revenue ($)</t>
  </si>
  <si>
    <t>Sum of Budget ($)</t>
  </si>
  <si>
    <t>Month</t>
  </si>
  <si>
    <t>Value</t>
  </si>
  <si>
    <t>Total Conversions</t>
  </si>
  <si>
    <t>Conversion Rate (%)</t>
  </si>
  <si>
    <t xml:space="preserve">Return On Investment ROI(%) </t>
  </si>
  <si>
    <t>ROI (%)</t>
  </si>
  <si>
    <t>Total Budget</t>
  </si>
  <si>
    <t>Total Revenue</t>
  </si>
  <si>
    <t>Average ROI (%)</t>
  </si>
  <si>
    <t>Metric</t>
  </si>
  <si>
    <t>Click-Through Rate (CTR)</t>
  </si>
  <si>
    <t>Average of Conversion Rate (%)</t>
  </si>
  <si>
    <t>Average of Click-Through Rate (CTR)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</si>
</sst>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71" formatCode="0.0"/>
    <numFmt numFmtId="172" formatCode="_([$$-409]* #,##0.00_);_([$$-409]* \(#,##0.00\);_([$$-409]* &quot;-&quot;??_);_(@_)"/>
  </numFmts>
  <fonts count="6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 applyNumberFormat="1" applyAlignment="1">
      <alignment horizontal="left" vertical="center"/>
    </xf>
    <xf numFmtId="171" fontId="0" fillId="0" borderId="0" xfId="0" applyNumberFormat="1"/>
    <xf numFmtId="0" fontId="1" fillId="0" borderId="0" xfId="0" applyFont="1" applyBorder="1"/>
    <xf numFmtId="0" fontId="2" fillId="0" borderId="0" xfId="0" applyFont="1" applyBorder="1"/>
    <xf numFmtId="0" fontId="2" fillId="0" borderId="2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172" fontId="2" fillId="0" borderId="2" xfId="0" applyNumberFormat="1" applyFont="1" applyBorder="1" applyAlignment="1">
      <alignment horizontal="left"/>
    </xf>
    <xf numFmtId="172" fontId="2" fillId="0" borderId="2" xfId="0" applyNumberFormat="1" applyFont="1" applyBorder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0" fillId="0" borderId="0" xfId="0" pivotButton="1" applyAlignment="1">
      <alignment horizontal="left" vertical="center"/>
    </xf>
    <xf numFmtId="0" fontId="0" fillId="0" borderId="0" xfId="0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41">
    <dxf>
      <alignment wrapText="1"/>
    </dxf>
    <dxf>
      <alignment wrapText="1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71" formatCode="0.0"/>
    </dxf>
    <dxf>
      <numFmt numFmtId="171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.0%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.0%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numFmt numFmtId="171" formatCode="0.0"/>
    </dxf>
    <dxf>
      <numFmt numFmtId="171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/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/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/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98689E"/>
      <color rgb="FF73DAF9"/>
      <color rgb="FF8BD090"/>
      <color rgb="FFCF26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Campaign Revenue vs</a:t>
            </a:r>
            <a:r>
              <a:rPr lang="en-US" baseline="0"/>
              <a:t> Budget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'Conversions by Campaign '!$C$11</c:f>
              <c:strCache>
                <c:ptCount val="1"/>
                <c:pt idx="0">
                  <c:v>Budget ($)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'Conversions by Campaign '!$B$12:$B$14</c:f>
              <c:strCache>
                <c:ptCount val="3"/>
                <c:pt idx="0">
                  <c:v>Back to School</c:v>
                </c:pt>
                <c:pt idx="1">
                  <c:v>Holiday Promo</c:v>
                </c:pt>
                <c:pt idx="2">
                  <c:v>Spring Sale</c:v>
                </c:pt>
              </c:strCache>
            </c:strRef>
          </c:cat>
          <c:val>
            <c:numRef>
              <c:f>'Conversions by Campaign '!$C$12:$C$14</c:f>
              <c:numCache>
                <c:formatCode>General</c:formatCode>
                <c:ptCount val="3"/>
                <c:pt idx="0">
                  <c:v>7000</c:v>
                </c:pt>
                <c:pt idx="1">
                  <c:v>10000</c:v>
                </c:pt>
                <c:pt idx="2">
                  <c:v>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54-FD43-8BB3-123E7C6A55F5}"/>
            </c:ext>
          </c:extLst>
        </c:ser>
        <c:ser>
          <c:idx val="1"/>
          <c:order val="1"/>
          <c:tx>
            <c:strRef>
              <c:f>'Conversions by Campaign '!$D$11</c:f>
              <c:strCache>
                <c:ptCount val="1"/>
                <c:pt idx="0">
                  <c:v>Revenue ($)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'Conversions by Campaign '!$B$12:$B$14</c:f>
              <c:strCache>
                <c:ptCount val="3"/>
                <c:pt idx="0">
                  <c:v>Back to School</c:v>
                </c:pt>
                <c:pt idx="1">
                  <c:v>Holiday Promo</c:v>
                </c:pt>
                <c:pt idx="2">
                  <c:v>Spring Sale</c:v>
                </c:pt>
              </c:strCache>
            </c:strRef>
          </c:cat>
          <c:val>
            <c:numRef>
              <c:f>'Conversions by Campaign '!$D$12:$D$14</c:f>
              <c:numCache>
                <c:formatCode>General</c:formatCode>
                <c:ptCount val="3"/>
                <c:pt idx="0">
                  <c:v>13700</c:v>
                </c:pt>
                <c:pt idx="1">
                  <c:v>22000</c:v>
                </c:pt>
                <c:pt idx="2">
                  <c:v>14000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54-FD43-8BB3-123E7C6A5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8961184"/>
        <c:axId val="1833290848"/>
      </c:lineChart>
      <c:catAx>
        <c:axId val="183896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290848"/>
        <c:crosses val="autoZero"/>
        <c:auto val="1"/>
        <c:lblAlgn val="ctr"/>
        <c:lblOffset val="100"/>
        <c:noMultiLvlLbl val="0"/>
      </c:catAx>
      <c:valAx>
        <c:axId val="1833290848"/>
        <c:scaling>
          <c:orientation val="minMax"/>
          <c:max val="23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96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Campaign Budget Distrubution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'Conversions by Campaign '!$C$11</c:f>
              <c:strCache>
                <c:ptCount val="1"/>
                <c:pt idx="0">
                  <c:v>Budget ($)</c:v>
                </c:pt>
              </c:strCache>
            </c:strRef>
          </c:tx>
          <c:dPt>
            <c:idx val="0"/>
            <c:bubble3D val="0"/>
            <c:spPr>
              <a:solidFill>
                <a:srgbClr val="CF266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7D3-0643-BB40-BBA9D2D18F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7D3-0643-BB40-BBA9D2D18FA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'Conversions by Campaign '!$B$12:$B$14</c:f>
              <c:strCache>
                <c:ptCount val="3"/>
                <c:pt idx="0">
                  <c:v>Back to School</c:v>
                </c:pt>
                <c:pt idx="1">
                  <c:v>Holiday Promo</c:v>
                </c:pt>
                <c:pt idx="2">
                  <c:v>Spring Sale</c:v>
                </c:pt>
              </c:strCache>
            </c:strRef>
          </c:cat>
          <c:val>
            <c:numRef>
              <c:f>'Conversions by Campaign '!$C$12:$C$14</c:f>
              <c:numCache>
                <c:formatCode>General</c:formatCode>
                <c:ptCount val="3"/>
                <c:pt idx="0">
                  <c:v>7000</c:v>
                </c:pt>
                <c:pt idx="1">
                  <c:v>10000</c:v>
                </c:pt>
                <c:pt idx="2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3-0643-BB40-BBA9D2D18FA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92541557305347"/>
          <c:y val="0.45451297754447362"/>
          <c:w val="0.19440791776027996"/>
          <c:h val="0.2343766404199475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Analysis.xlsx]ROI by Campaign!PivotTable3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'ROI by Campaign'!$B$3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'ROI by Campaign'!$A$4:$A$7</c:f>
              <c:strCache>
                <c:ptCount val="3"/>
                <c:pt idx="0">
                  <c:v>Back to School</c:v>
                </c:pt>
                <c:pt idx="1">
                  <c:v>Holiday Promo</c:v>
                </c:pt>
                <c:pt idx="2">
                  <c:v>Spring Sale</c:v>
                </c:pt>
              </c:strCache>
            </c:strRef>
          </c:cat>
          <c:val>
            <c:numRef>
              <c:f>'ROI by Campaign'!$B$4:$B$7</c:f>
              <c:numCache>
                <c:formatCode>General</c:formatCode>
                <c:ptCount val="3"/>
                <c:pt idx="0">
                  <c:v>95.714285714285722</c:v>
                </c:pt>
                <c:pt idx="1">
                  <c:v>120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7-6C4D-B3C6-EDBF382FF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603536"/>
        <c:axId val="1866088128"/>
      </c:barChart>
      <c:catAx>
        <c:axId val="184460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88128"/>
        <c:crosses val="autoZero"/>
        <c:auto val="1"/>
        <c:lblAlgn val="ctr"/>
        <c:lblOffset val="100"/>
        <c:noMultiLvlLbl val="0"/>
      </c:catAx>
      <c:valAx>
        <c:axId val="186608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60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Analysis.xlsx]ROI by Channel!PivotTable7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'ROI by 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'ROI by Channel'!$A$4:$A$8</c:f>
              <c:strCache>
                <c:ptCount val="4"/>
                <c:pt idx="0">
                  <c:v>Email</c:v>
                </c:pt>
                <c:pt idx="1">
                  <c:v>Google Ads</c:v>
                </c:pt>
                <c:pt idx="2">
                  <c:v>Instagram</c:v>
                </c:pt>
                <c:pt idx="3">
                  <c:v>Social Media</c:v>
                </c:pt>
              </c:strCache>
            </c:strRef>
          </c:cat>
          <c:val>
            <c:numRef>
              <c:f>'ROI by Channel'!$B$4:$B$8</c:f>
              <c:numCache>
                <c:formatCode>General</c:formatCode>
                <c:ptCount val="4"/>
                <c:pt idx="0">
                  <c:v>77.41935483870968</c:v>
                </c:pt>
                <c:pt idx="1">
                  <c:v>150</c:v>
                </c:pt>
                <c:pt idx="2">
                  <c:v>148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6-6748-8EBB-0FDEBCA04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0521232"/>
        <c:axId val="1764868960"/>
      </c:barChart>
      <c:catAx>
        <c:axId val="184052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868960"/>
        <c:crosses val="autoZero"/>
        <c:auto val="1"/>
        <c:lblAlgn val="ctr"/>
        <c:lblOffset val="100"/>
        <c:noMultiLvlLbl val="0"/>
      </c:catAx>
      <c:valAx>
        <c:axId val="176486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52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HK"/>
              <a:t>CTR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'CTR and Conversion Rate'!$C$20</c:f>
              <c:strCache>
                <c:ptCount val="1"/>
                <c:pt idx="0">
                  <c:v>Average of Click-Through Rate (CTR)</c:v>
                </c:pt>
              </c:strCache>
            </c:strRef>
          </c:tx>
          <c:spPr>
            <a:solidFill>
              <a:srgbClr val="8BD090"/>
            </a:solidFill>
            <a:ln>
              <a:noFill/>
            </a:ln>
            <a:effectLst/>
          </c:spPr>
          <c:invertIfNegative val="0"/>
          <c:cat>
            <c:strRef>
              <c:f>'CTR and Conversion Rate'!$B$21:$B$24</c:f>
              <c:strCache>
                <c:ptCount val="4"/>
                <c:pt idx="0">
                  <c:v>Email</c:v>
                </c:pt>
                <c:pt idx="1">
                  <c:v>Google Ads</c:v>
                </c:pt>
                <c:pt idx="2">
                  <c:v>Instagram</c:v>
                </c:pt>
                <c:pt idx="3">
                  <c:v>Social Media</c:v>
                </c:pt>
              </c:strCache>
            </c:strRef>
          </c:cat>
          <c:val>
            <c:numRef>
              <c:f>'CTR and Conversion Rate'!$C$21:$C$24</c:f>
              <c:numCache>
                <c:formatCode>0.00%</c:formatCode>
                <c:ptCount val="4"/>
                <c:pt idx="0">
                  <c:v>2.4814814814814817E-2</c:v>
                </c:pt>
                <c:pt idx="1">
                  <c:v>2.8421052631578948E-2</c:v>
                </c:pt>
                <c:pt idx="2">
                  <c:v>2.7142857142857142E-2</c:v>
                </c:pt>
                <c:pt idx="3">
                  <c:v>2.2499999999999999E-2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B-DA4E-ACF8-82A7D687B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5421840"/>
        <c:axId val="1653770256"/>
      </c:barChart>
      <c:catAx>
        <c:axId val="184542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770256"/>
        <c:crosses val="autoZero"/>
        <c:auto val="1"/>
        <c:lblAlgn val="ctr"/>
        <c:lblOffset val="100"/>
        <c:noMultiLvlLbl val="0"/>
      </c:catAx>
      <c:valAx>
        <c:axId val="165377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CTR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42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 Rate by</a:t>
            </a:r>
            <a:r>
              <a:rPr lang="en-US" baseline="0"/>
              <a:t> Campaign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'CTR and Conversion Rate'!$F$15</c:f>
              <c:strCache>
                <c:ptCount val="1"/>
                <c:pt idx="0">
                  <c:v>Average of Conversion Rate (%)</c:v>
                </c:pt>
              </c:strCache>
            </c:strRef>
          </c:tx>
          <c:spPr>
            <a:solidFill>
              <a:srgbClr val="73DAF9"/>
            </a:solidFill>
            <a:ln>
              <a:noFill/>
            </a:ln>
            <a:effectLst/>
          </c:spPr>
          <c:invertIfNegative val="0"/>
          <c:cat>
            <c:strRef>
              <c:f>'CTR and Conversion Rate'!$E$16:$E$18</c:f>
              <c:strCache>
                <c:ptCount val="3"/>
                <c:pt idx="0">
                  <c:v>Back to School</c:v>
                </c:pt>
                <c:pt idx="1">
                  <c:v>Holiday Promo</c:v>
                </c:pt>
                <c:pt idx="2">
                  <c:v>Spring Sale</c:v>
                </c:pt>
              </c:strCache>
            </c:strRef>
          </c:cat>
          <c:val>
            <c:numRef>
              <c:f>'CTR and Conversion Rate'!$F$16:$F$18</c:f>
              <c:numCache>
                <c:formatCode>0.00%</c:formatCode>
                <c:ptCount val="3"/>
                <c:pt idx="0">
                  <c:v>0.15322966507177033</c:v>
                </c:pt>
                <c:pt idx="1">
                  <c:v>0.19259259259259259</c:v>
                </c:pt>
                <c:pt idx="2">
                  <c:v>0.16888888888888889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4-734E-95A7-0F4656EDF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157136"/>
        <c:axId val="1654186592"/>
      </c:barChart>
      <c:catAx>
        <c:axId val="165415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186592"/>
        <c:crosses val="autoZero"/>
        <c:auto val="1"/>
        <c:lblAlgn val="ctr"/>
        <c:lblOffset val="100"/>
        <c:noMultiLvlLbl val="0"/>
      </c:catAx>
      <c:valAx>
        <c:axId val="165418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Conversion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15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Analysis.xlsx]ROI by Channel!PivotTable7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'ROI by 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'ROI by Channel'!$A$4:$A$8</c:f>
              <c:strCache>
                <c:ptCount val="4"/>
                <c:pt idx="0">
                  <c:v>Email</c:v>
                </c:pt>
                <c:pt idx="1">
                  <c:v>Google Ads</c:v>
                </c:pt>
                <c:pt idx="2">
                  <c:v>Instagram</c:v>
                </c:pt>
                <c:pt idx="3">
                  <c:v>Social Media</c:v>
                </c:pt>
              </c:strCache>
            </c:strRef>
          </c:cat>
          <c:val>
            <c:numRef>
              <c:f>'ROI by Channel'!$B$4:$B$8</c:f>
              <c:numCache>
                <c:formatCode>General</c:formatCode>
                <c:ptCount val="4"/>
                <c:pt idx="0">
                  <c:v>77.41935483870968</c:v>
                </c:pt>
                <c:pt idx="1">
                  <c:v>150</c:v>
                </c:pt>
                <c:pt idx="2">
                  <c:v>148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B-5841-8882-89712B4DE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0521232"/>
        <c:axId val="1764868960"/>
      </c:barChart>
      <c:catAx>
        <c:axId val="184052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868960"/>
        <c:crosses val="autoZero"/>
        <c:auto val="1"/>
        <c:lblAlgn val="ctr"/>
        <c:lblOffset val="100"/>
        <c:noMultiLvlLbl val="0"/>
      </c:catAx>
      <c:valAx>
        <c:axId val="176486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52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Campaign Analysis.xlsx]ROI by Campaign!PivotTable3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'ROI by Campaign'!$B$3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'ROI by Campaign'!$A$4:$A$7</c:f>
              <c:strCache>
                <c:ptCount val="3"/>
                <c:pt idx="0">
                  <c:v>Back to School</c:v>
                </c:pt>
                <c:pt idx="1">
                  <c:v>Holiday Promo</c:v>
                </c:pt>
                <c:pt idx="2">
                  <c:v>Spring Sale</c:v>
                </c:pt>
              </c:strCache>
            </c:strRef>
          </c:cat>
          <c:val>
            <c:numRef>
              <c:f>'ROI by Campaign'!$B$4:$B$7</c:f>
              <c:numCache>
                <c:formatCode>General</c:formatCode>
                <c:ptCount val="3"/>
                <c:pt idx="0">
                  <c:v>95.714285714285722</c:v>
                </c:pt>
                <c:pt idx="1">
                  <c:v>120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3-794A-95FC-70767E1EA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603536"/>
        <c:axId val="1866088128"/>
      </c:barChart>
      <c:catAx>
        <c:axId val="184460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88128"/>
        <c:crosses val="autoZero"/>
        <c:auto val="1"/>
        <c:lblAlgn val="ctr"/>
        <c:lblOffset val="100"/>
        <c:noMultiLvlLbl val="0"/>
      </c:catAx>
      <c:valAx>
        <c:axId val="186608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60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Campaign Revenue vs</a:t>
            </a:r>
            <a:r>
              <a:rPr lang="en-US" baseline="0"/>
              <a:t> Budget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'Conversions by Campaign '!$C$11</c:f>
              <c:strCache>
                <c:ptCount val="1"/>
                <c:pt idx="0">
                  <c:v>Budget ($)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'Conversions by Campaign '!$B$12:$B$14</c:f>
              <c:strCache>
                <c:ptCount val="3"/>
                <c:pt idx="0">
                  <c:v>Back to School</c:v>
                </c:pt>
                <c:pt idx="1">
                  <c:v>Holiday Promo</c:v>
                </c:pt>
                <c:pt idx="2">
                  <c:v>Spring Sale</c:v>
                </c:pt>
              </c:strCache>
            </c:strRef>
          </c:cat>
          <c:val>
            <c:numRef>
              <c:f>'Conversions by Campaign '!$C$12:$C$14</c:f>
              <c:numCache>
                <c:formatCode>General</c:formatCode>
                <c:ptCount val="3"/>
                <c:pt idx="0">
                  <c:v>7000</c:v>
                </c:pt>
                <c:pt idx="1">
                  <c:v>10000</c:v>
                </c:pt>
                <c:pt idx="2">
                  <c:v>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4D-8443-90B3-4EF0658FC262}"/>
            </c:ext>
          </c:extLst>
        </c:ser>
        <c:ser>
          <c:idx val="1"/>
          <c:order val="1"/>
          <c:tx>
            <c:strRef>
              <c:f>'Conversions by Campaign '!$D$11</c:f>
              <c:strCache>
                <c:ptCount val="1"/>
                <c:pt idx="0">
                  <c:v>Revenue ($)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'Conversions by Campaign '!$B$12:$B$14</c:f>
              <c:strCache>
                <c:ptCount val="3"/>
                <c:pt idx="0">
                  <c:v>Back to School</c:v>
                </c:pt>
                <c:pt idx="1">
                  <c:v>Holiday Promo</c:v>
                </c:pt>
                <c:pt idx="2">
                  <c:v>Spring Sale</c:v>
                </c:pt>
              </c:strCache>
            </c:strRef>
          </c:cat>
          <c:val>
            <c:numRef>
              <c:f>'Conversions by Campaign '!$D$12:$D$14</c:f>
              <c:numCache>
                <c:formatCode>General</c:formatCode>
                <c:ptCount val="3"/>
                <c:pt idx="0">
                  <c:v>13700</c:v>
                </c:pt>
                <c:pt idx="1">
                  <c:v>22000</c:v>
                </c:pt>
                <c:pt idx="2">
                  <c:v>14000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4D-8443-90B3-4EF0658FC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8961184"/>
        <c:axId val="1833290848"/>
      </c:lineChart>
      <c:catAx>
        <c:axId val="183896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290848"/>
        <c:crosses val="autoZero"/>
        <c:auto val="1"/>
        <c:lblAlgn val="ctr"/>
        <c:lblOffset val="100"/>
        <c:noMultiLvlLbl val="0"/>
      </c:catAx>
      <c:valAx>
        <c:axId val="1833290848"/>
        <c:scaling>
          <c:orientation val="minMax"/>
          <c:max val="23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96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Campaign Budget Distrubution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'Conversions by Campaign '!$C$11</c:f>
              <c:strCache>
                <c:ptCount val="1"/>
                <c:pt idx="0">
                  <c:v>Budget ($)</c:v>
                </c:pt>
              </c:strCache>
            </c:strRef>
          </c:tx>
          <c:dPt>
            <c:idx val="0"/>
            <c:bubble3D val="0"/>
            <c:spPr>
              <a:solidFill>
                <a:srgbClr val="CF266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96-FB49-B4EA-F226C69D0A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96-FB49-B4EA-F226C69D0AD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96-FB49-B4EA-F226C69D0AD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'Conversions by Campaign '!$B$12:$B$14</c:f>
              <c:strCache>
                <c:ptCount val="3"/>
                <c:pt idx="0">
                  <c:v>Back to School</c:v>
                </c:pt>
                <c:pt idx="1">
                  <c:v>Holiday Promo</c:v>
                </c:pt>
                <c:pt idx="2">
                  <c:v>Spring Sale</c:v>
                </c:pt>
              </c:strCache>
            </c:strRef>
          </c:cat>
          <c:val>
            <c:numRef>
              <c:f>'Conversions by Campaign '!$C$12:$C$14</c:f>
              <c:numCache>
                <c:formatCode>General</c:formatCode>
                <c:ptCount val="3"/>
                <c:pt idx="0">
                  <c:v>7000</c:v>
                </c:pt>
                <c:pt idx="1">
                  <c:v>10000</c:v>
                </c:pt>
                <c:pt idx="2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96-FB49-B4EA-F226C69D0AD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92541557305347"/>
          <c:y val="0.45451297754447362"/>
          <c:w val="0.19440791776027996"/>
          <c:h val="0.2343766404199475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HK"/>
              <a:t>CTR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'CTR and Conversion Rate'!$C$20</c:f>
              <c:strCache>
                <c:ptCount val="1"/>
                <c:pt idx="0">
                  <c:v>Average of Click-Through Rate (CTR)</c:v>
                </c:pt>
              </c:strCache>
            </c:strRef>
          </c:tx>
          <c:spPr>
            <a:solidFill>
              <a:srgbClr val="8BD090"/>
            </a:solidFill>
            <a:ln>
              <a:noFill/>
            </a:ln>
            <a:effectLst/>
          </c:spPr>
          <c:invertIfNegative val="0"/>
          <c:cat>
            <c:strRef>
              <c:f>'CTR and Conversion Rate'!$B$21:$B$24</c:f>
              <c:strCache>
                <c:ptCount val="4"/>
                <c:pt idx="0">
                  <c:v>Email</c:v>
                </c:pt>
                <c:pt idx="1">
                  <c:v>Google Ads</c:v>
                </c:pt>
                <c:pt idx="2">
                  <c:v>Instagram</c:v>
                </c:pt>
                <c:pt idx="3">
                  <c:v>Social Media</c:v>
                </c:pt>
              </c:strCache>
            </c:strRef>
          </c:cat>
          <c:val>
            <c:numRef>
              <c:f>'CTR and Conversion Rate'!$C$21:$C$24</c:f>
              <c:numCache>
                <c:formatCode>0.00%</c:formatCode>
                <c:ptCount val="4"/>
                <c:pt idx="0">
                  <c:v>2.4814814814814817E-2</c:v>
                </c:pt>
                <c:pt idx="1">
                  <c:v>2.8421052631578948E-2</c:v>
                </c:pt>
                <c:pt idx="2">
                  <c:v>2.7142857142857142E-2</c:v>
                </c:pt>
                <c:pt idx="3">
                  <c:v>2.2499999999999999E-2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A-1941-9BDF-FE749136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5421840"/>
        <c:axId val="1653770256"/>
      </c:barChart>
      <c:catAx>
        <c:axId val="184542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770256"/>
        <c:crosses val="autoZero"/>
        <c:auto val="1"/>
        <c:lblAlgn val="ctr"/>
        <c:lblOffset val="100"/>
        <c:noMultiLvlLbl val="0"/>
      </c:catAx>
      <c:valAx>
        <c:axId val="165377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CTR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42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 Rate by</a:t>
            </a:r>
            <a:r>
              <a:rPr lang="en-US" baseline="0"/>
              <a:t> Campaign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'CTR and Conversion Rate'!$F$15</c:f>
              <c:strCache>
                <c:ptCount val="1"/>
                <c:pt idx="0">
                  <c:v>Average of Conversion Rate (%)</c:v>
                </c:pt>
              </c:strCache>
            </c:strRef>
          </c:tx>
          <c:spPr>
            <a:solidFill>
              <a:srgbClr val="73DAF9"/>
            </a:solidFill>
            <a:ln>
              <a:noFill/>
            </a:ln>
            <a:effectLst/>
          </c:spPr>
          <c:invertIfNegative val="0"/>
          <c:cat>
            <c:strRef>
              <c:f>'CTR and Conversion Rate'!$E$16:$E$18</c:f>
              <c:strCache>
                <c:ptCount val="3"/>
                <c:pt idx="0">
                  <c:v>Back to School</c:v>
                </c:pt>
                <c:pt idx="1">
                  <c:v>Holiday Promo</c:v>
                </c:pt>
                <c:pt idx="2">
                  <c:v>Spring Sale</c:v>
                </c:pt>
              </c:strCache>
            </c:strRef>
          </c:cat>
          <c:val>
            <c:numRef>
              <c:f>'CTR and Conversion Rate'!$F$16:$F$18</c:f>
              <c:numCache>
                <c:formatCode>0.00%</c:formatCode>
                <c:ptCount val="3"/>
                <c:pt idx="0">
                  <c:v>0.15322966507177033</c:v>
                </c:pt>
                <c:pt idx="1">
                  <c:v>0.19259259259259259</c:v>
                </c:pt>
                <c:pt idx="2">
                  <c:v>0.16888888888888889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C-334E-8350-CA0644DE4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157136"/>
        <c:axId val="1654186592"/>
      </c:barChart>
      <c:catAx>
        <c:axId val="165415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186592"/>
        <c:crosses val="autoZero"/>
        <c:auto val="1"/>
        <c:lblAlgn val="ctr"/>
        <c:lblOffset val="100"/>
        <c:noMultiLvlLbl val="0"/>
      </c:catAx>
      <c:valAx>
        <c:axId val="165418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Conversion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15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17</xdr:row>
      <xdr:rowOff>50800</xdr:rowOff>
    </xdr:from>
    <xdr:to>
      <xdr:col>4</xdr:col>
      <xdr:colOff>781050</xdr:colOff>
      <xdr:row>30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7B92EA-B612-C447-B0B6-4C07C87B2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2120900</xdr:colOff>
      <xdr:row>10</xdr:row>
      <xdr:rowOff>165100</xdr:rowOff>
    </xdr:from>
    <xdr:to>
      <xdr:col>9</xdr:col>
      <xdr:colOff>279400</xdr:colOff>
      <xdr:row>24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2FB27F-F2B1-AD40-93AD-4270F5C78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1409700</xdr:colOff>
      <xdr:row>12</xdr:row>
      <xdr:rowOff>165100</xdr:rowOff>
    </xdr:from>
    <xdr:to>
      <xdr:col>6</xdr:col>
      <xdr:colOff>266700</xdr:colOff>
      <xdr:row>26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24C5E6-3748-524B-B3C2-AA86F0E15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12</xdr:row>
      <xdr:rowOff>165100</xdr:rowOff>
    </xdr:from>
    <xdr:to>
      <xdr:col>9</xdr:col>
      <xdr:colOff>622300</xdr:colOff>
      <xdr:row>26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533C5F-D2BD-064F-B804-F4E2B042C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25</xdr:row>
      <xdr:rowOff>69850</xdr:rowOff>
    </xdr:from>
    <xdr:to>
      <xdr:col>5</xdr:col>
      <xdr:colOff>768350</xdr:colOff>
      <xdr:row>38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C41903-B4E1-894C-95E0-BEEFD6990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514350</xdr:colOff>
      <xdr:row>15</xdr:row>
      <xdr:rowOff>171450</xdr:rowOff>
    </xdr:from>
    <xdr:to>
      <xdr:col>11</xdr:col>
      <xdr:colOff>69850</xdr:colOff>
      <xdr:row>27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82A45F-39E7-5748-AFD9-15914CEC4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1516186</xdr:colOff>
      <xdr:row>6</xdr:row>
      <xdr:rowOff>105508</xdr:rowOff>
    </xdr:from>
    <xdr:to>
      <xdr:col>9</xdr:col>
      <xdr:colOff>381001</xdr:colOff>
      <xdr:row>19</xdr:row>
      <xdr:rowOff>181708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DE6827-E384-B04D-8AC2-E2E55DBFB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444500</xdr:colOff>
      <xdr:row>6</xdr:row>
      <xdr:rowOff>88900</xdr:rowOff>
    </xdr:from>
    <xdr:to>
      <xdr:col>4</xdr:col>
      <xdr:colOff>1406770</xdr:colOff>
      <xdr:row>19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9E5B37-1823-FC4F-8C0E-161738FDF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546100</xdr:colOff>
      <xdr:row>20</xdr:row>
      <xdr:rowOff>25400</xdr:rowOff>
    </xdr:from>
    <xdr:to>
      <xdr:col>4</xdr:col>
      <xdr:colOff>1377462</xdr:colOff>
      <xdr:row>33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E34EB3-9A80-844B-8140-8187F52947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1401885</xdr:colOff>
      <xdr:row>20</xdr:row>
      <xdr:rowOff>84016</xdr:rowOff>
    </xdr:from>
    <xdr:to>
      <xdr:col>9</xdr:col>
      <xdr:colOff>351693</xdr:colOff>
      <xdr:row>33</xdr:row>
      <xdr:rowOff>185616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A4D3E4-DD68-D941-B902-838A0F6BF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488462</xdr:colOff>
      <xdr:row>6</xdr:row>
      <xdr:rowOff>127977</xdr:rowOff>
    </xdr:from>
    <xdr:to>
      <xdr:col>14</xdr:col>
      <xdr:colOff>762000</xdr:colOff>
      <xdr:row>19</xdr:row>
      <xdr:rowOff>204177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1FAA50-FD55-0447-95F1-67FE900F6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191477</xdr:colOff>
      <xdr:row>20</xdr:row>
      <xdr:rowOff>58617</xdr:rowOff>
    </xdr:from>
    <xdr:to>
      <xdr:col>14</xdr:col>
      <xdr:colOff>611554</xdr:colOff>
      <xdr:row>33</xdr:row>
      <xdr:rowOff>134817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3B85B5-D658-2349-AF3A-2ADB091F75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79.953882291666" createdVersion="6" refreshedVersion="6" minRefreshableVersion="3" recordCount="6" xr:uid="{63D4C3CE-DD82-FA41-B7A9-03336E1D44A3}">
  <cacheSource type="worksheet">
    <worksheetSource name="Table2"/>
  </cacheSource>
  <cacheFields count="13">
    <cacheField name="Campaign Name" numFmtId="0">
      <sharedItems count="3">
        <s v="Spring Sale"/>
        <s v="Holiday Promo"/>
        <s v="Back to School"/>
      </sharedItems>
    </cacheField>
    <cacheField name="Channel" numFmtId="0">
      <sharedItems count="4">
        <s v="Email"/>
        <s v="Social Media"/>
        <s v="Google Ads"/>
        <s v="Instagram"/>
      </sharedItems>
    </cacheField>
    <cacheField name="Start Date" numFmtId="14">
      <sharedItems containsSemiMixedTypes="0" containsNonDate="0" containsDate="1" containsString="0" minDate="2023-03-01T00:00:00" maxDate="2023-12-02T00:00:00"/>
    </cacheField>
    <cacheField name="End Date" numFmtId="14">
      <sharedItems containsSemiMixedTypes="0" containsNonDate="0" containsDate="1" containsString="0" minDate="2023-03-31T00:00:00" maxDate="2024-01-01T00:00:00"/>
    </cacheField>
    <cacheField name="Month" numFmtId="14">
      <sharedItems/>
    </cacheField>
    <cacheField name="Budget ($)" numFmtId="0">
      <sharedItems containsSemiMixedTypes="0" containsString="0" containsNumber="1" containsInteger="1" minValue="2500" maxValue="6000"/>
    </cacheField>
    <cacheField name="Impressions" numFmtId="0">
      <sharedItems containsSemiMixedTypes="0" containsString="0" containsNumber="1" containsInteger="1" minValue="70000" maxValue="120000"/>
    </cacheField>
    <cacheField name="Clicks" numFmtId="0">
      <sharedItems containsSemiMixedTypes="0" containsString="0" containsNumber="1" containsInteger="1" minValue="1800" maxValue="3000"/>
    </cacheField>
    <cacheField name="Conversions" numFmtId="0">
      <sharedItems containsSemiMixedTypes="0" containsString="0" containsNumber="1" containsInteger="1" minValue="280" maxValue="600"/>
    </cacheField>
    <cacheField name="Revenue ($)" numFmtId="0">
      <sharedItems containsSemiMixedTypes="0" containsString="0" containsNumber="1" containsInteger="1" minValue="6000" maxValue="12000"/>
    </cacheField>
    <cacheField name="Click-Through Rate (CTR)" numFmtId="164">
      <sharedItems containsSemiMixedTypes="0" containsString="0" containsNumber="1" minValue="2.2499999999999999E-2" maxValue="2.8421052631578948E-2"/>
    </cacheField>
    <cacheField name="Conversion Rate (%)" numFmtId="164">
      <sharedItems containsSemiMixedTypes="0" containsString="0" containsNumber="1" minValue="0.14736842105263157" maxValue="0.2"/>
    </cacheField>
    <cacheField name="ROI" numFmtId="0" formula=" (('Revenue ($)'-'Budget ($)')/'Budget ($)')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d v="2023-03-01T00:00:00"/>
    <d v="2023-03-31T00:00:00"/>
    <s v="March 2023"/>
    <n v="5000"/>
    <n v="100000"/>
    <n v="2500"/>
    <n v="400"/>
    <n v="8000"/>
    <n v="2.5000000000000001E-2"/>
    <n v="0.16"/>
  </r>
  <r>
    <x v="0"/>
    <x v="1"/>
    <d v="2023-03-01T00:00:00"/>
    <d v="2023-03-31T00:00:00"/>
    <s v="March 2023"/>
    <n v="3000"/>
    <n v="80000"/>
    <n v="1800"/>
    <n v="320"/>
    <n v="6000"/>
    <n v="2.2499999999999999E-2"/>
    <n v="0.17777777777777778"/>
  </r>
  <r>
    <x v="1"/>
    <x v="0"/>
    <d v="2023-12-01T00:00:00"/>
    <d v="2023-12-31T00:00:00"/>
    <s v="December 2023"/>
    <n v="6000"/>
    <n v="120000"/>
    <n v="3000"/>
    <n v="600"/>
    <n v="12000"/>
    <n v="2.5000000000000001E-2"/>
    <n v="0.2"/>
  </r>
  <r>
    <x v="1"/>
    <x v="2"/>
    <d v="2023-12-01T00:00:00"/>
    <d v="2023-12-31T00:00:00"/>
    <s v="December 2023"/>
    <n v="4000"/>
    <n v="95000"/>
    <n v="2700"/>
    <n v="500"/>
    <n v="10000"/>
    <n v="2.8421052631578948E-2"/>
    <n v="0.18518518518518517"/>
  </r>
  <r>
    <x v="2"/>
    <x v="0"/>
    <d v="2023-08-01T00:00:00"/>
    <d v="2023-08-31T00:00:00"/>
    <s v="August 2023"/>
    <n v="4500"/>
    <n v="90000"/>
    <n v="2200"/>
    <n v="350"/>
    <n v="7500"/>
    <n v="2.4444444444444446E-2"/>
    <n v="0.15909090909090909"/>
  </r>
  <r>
    <x v="2"/>
    <x v="3"/>
    <d v="2023-08-01T00:00:00"/>
    <d v="2023-08-31T00:00:00"/>
    <s v="August 2023"/>
    <n v="2500"/>
    <n v="70000"/>
    <n v="1900"/>
    <n v="280"/>
    <n v="6200"/>
    <n v="2.7142857142857142E-2"/>
    <n v="0.147368421052631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70274-58B9-D144-BEB8-85B98E8197A4}" name="PivotTable1" cacheId="2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D7" firstHeaderRow="0" firstDataRow="1" firstDataCol="1"/>
  <pivotFields count="13">
    <pivotField axis="axisRow" showAll="0">
      <items count="4">
        <item x="2"/>
        <item x="1"/>
        <item x="0"/>
        <item t="default"/>
      </items>
    </pivotField>
    <pivotField showAll="0"/>
    <pivotField numFmtId="14" showAll="0"/>
    <pivotField numFmtId="14" showAll="0"/>
    <pivotField showAll="0"/>
    <pivotField dataField="1" showAll="0"/>
    <pivotField showAll="0"/>
    <pivotField showAll="0"/>
    <pivotField dataField="1" showAll="0"/>
    <pivotField dataField="1" showAll="0"/>
    <pivotField numFmtId="164" showAll="0"/>
    <pivotField numFmtId="164" showAll="0"/>
    <pivotField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nversions" fld="8" baseField="0" baseItem="0"/>
    <dataField name="Sum of Budget ($)" fld="5" baseField="0" baseItem="0"/>
    <dataField name="Sum of Revenue ($)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28377-E726-4543-84F5-DE7742FD8185}" name="PivotTable3" cacheId="2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B7" firstHeaderRow="1" firstDataRow="1" firstDataCol="1"/>
  <pivotFields count="13">
    <pivotField axis="axisRow" showAll="0">
      <items count="4">
        <item x="2"/>
        <item x="1"/>
        <item x="0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turn On Investment ROI(%) " fld="12" baseField="0" baseItem="0"/>
  </dataFields>
  <formats count="1">
    <format dxfId="29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947BC-9D52-1443-835D-D87AC3F49B17}" name="PivotTable7" cacheId="2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8" firstHeaderRow="1" firstDataRow="1" firstDataCol="1"/>
  <pivotFields count="13">
    <pivotField showAll="0"/>
    <pivotField axis="axisRow" showAll="0">
      <items count="5">
        <item x="0"/>
        <item x="2"/>
        <item x="3"/>
        <item x="1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OI (%)" fld="12" baseField="0" baseItem="0"/>
  </dataFields>
  <formats count="1">
    <format dxfId="28">
      <pivotArea collapsedLevelsAreSubtotals="1" fieldPosition="0">
        <references count="1">
          <reference field="1" count="1">
            <x v="0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4DA4B-A0C6-6A40-AF95-8ADC98C44149}" name="PivotTable8" cacheId="2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8" firstHeaderRow="0" firstDataRow="1" firstDataCol="1"/>
  <pivotFields count="13">
    <pivotField showAll="0">
      <items count="4">
        <item x="2"/>
        <item x="1"/>
        <item x="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numFmtId="14" showAll="0"/>
    <pivotField numFmtId="14" showAll="0"/>
    <pivotField showAll="0"/>
    <pivotField showAll="0"/>
    <pivotField dataField="1" showAll="0"/>
    <pivotField dataField="1" showAll="0"/>
    <pivotField dataField="1" showAll="0"/>
    <pivotField showAll="0"/>
    <pivotField dataField="1" numFmtId="164" showAll="0"/>
    <pivotField dataField="1" numFmtId="164" showAll="0"/>
    <pivotField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Impressions" fld="6" baseField="0" baseItem="0"/>
    <dataField name="Sum of Clicks" fld="7" baseField="0" baseItem="0"/>
    <dataField name="Sum of Conversions" fld="8" baseField="0" baseItem="0"/>
    <dataField name="Average of Click-Through Rate (CTR)" fld="10" subtotal="average" baseField="0" baseItem="0" numFmtId="10"/>
    <dataField name="Average of Conversion Rate (%)" fld="11" subtotal="average" baseField="0" baseItem="0" numFmtId="10"/>
  </dataFields>
  <formats count="15">
    <format dxfId="20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148DCF-D0F9-0F4D-AA15-EFBBE4B229A6}" name="Table2" displayName="Table2" ref="A2:L8" totalsRowShown="0" headerRowDxfId="40" dataDxfId="39">
  <autoFilter ref="A2:L8" xr:uid="{F6916261-CD48-B44B-AEB8-09E3A682F283}"/>
  <tableColumns count="12">
    <tableColumn id="1" xr3:uid="{CD9A8843-D8A2-644B-A77E-6F030E37EC4F}" name="Campaign Name" dataDxfId="38"/>
    <tableColumn id="2" xr3:uid="{A201C50F-FF47-A44C-B46D-EAE737B53CFC}" name="Channel" dataDxfId="37"/>
    <tableColumn id="3" xr3:uid="{5EC191E0-4990-2241-88DB-6D8EA78C5F64}" name="Start Date" dataDxfId="36"/>
    <tableColumn id="4" xr3:uid="{1D93C60E-DC41-E54C-87BC-B7D375D8E9D6}" name="End Date" dataDxfId="35"/>
    <tableColumn id="15" xr3:uid="{2E34DBD9-6F9B-CF4C-AF1D-E602F37874C6}" name="Month" dataDxfId="34">
      <calculatedColumnFormula>TEXT(Table2[[#This Row],[Start Date]], "mmmm yyyy")</calculatedColumnFormula>
    </tableColumn>
    <tableColumn id="5" xr3:uid="{DA70A7F4-D777-9443-B8EE-26F2588F2BD4}" name="Budget ($)" dataDxfId="33"/>
    <tableColumn id="6" xr3:uid="{8A8B2D99-1BBE-F946-AC01-8A911FB35AA7}" name="Impressions" dataDxfId="32"/>
    <tableColumn id="7" xr3:uid="{41EF79F0-E061-5C4C-A77E-76925B621C43}" name="Clicks" dataDxfId="31"/>
    <tableColumn id="8" xr3:uid="{E87F2724-D97B-3F4C-B42F-AFB809147E21}" name="Conversions" dataDxfId="30"/>
    <tableColumn id="9" xr3:uid="{B53AD93E-CC2A-2E47-87B9-4A43A643B85B}" name="Revenue ($)" dataDxfId="27"/>
    <tableColumn id="10" xr3:uid="{53C9C0E9-ADA0-B442-8FA4-BFD0FF60857E}" name="Click-Through Rate (CTR)" dataDxfId="26">
      <calculatedColumnFormula>Table2[[#This Row],[Clicks]]/Table2[[#This Row],[Impressions]]</calculatedColumnFormula>
    </tableColumn>
    <tableColumn id="11" xr3:uid="{0BB8E35D-179F-A741-A394-991A28F14A9C}" name="Conversion Rate (%)" dataDxfId="25">
      <calculatedColumnFormula>Table2[[#This Row],[Conversions]]/Table2[[#This Row],[Clicks]]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5B945-1245-2145-88C3-5D389F9EFDA2}">
  <dimension ref="A3:D14"/>
  <sheetViews>
    <sheetView workbookViewId="0">
      <selection activeCell="E5" sqref="E5"/>
    </sheetView>
  </sheetViews>
  <sheetFormatPr baseColWidth="10" defaultRowHeight="16" x14ac:dyDescent="0.2"/>
  <cols>
    <col min="1" max="1" width="13" bestFit="1" customWidth="1"/>
    <col min="2" max="2" width="17.5" bestFit="1" customWidth="1"/>
    <col min="3" max="3" width="16.33203125" bestFit="1" customWidth="1"/>
    <col min="4" max="4" width="17.6640625" bestFit="1" customWidth="1"/>
    <col min="5" max="5" width="30.6640625" bestFit="1" customWidth="1"/>
    <col min="6" max="6" width="21" bestFit="1" customWidth="1"/>
  </cols>
  <sheetData>
    <row r="3" spans="1:4" x14ac:dyDescent="0.2">
      <c r="A3" s="6" t="s">
        <v>16</v>
      </c>
      <c r="B3" t="s">
        <v>19</v>
      </c>
      <c r="C3" t="s">
        <v>22</v>
      </c>
      <c r="D3" t="s">
        <v>21</v>
      </c>
    </row>
    <row r="4" spans="1:4" x14ac:dyDescent="0.2">
      <c r="A4" s="7" t="s">
        <v>14</v>
      </c>
      <c r="B4" s="8">
        <v>630</v>
      </c>
      <c r="C4" s="8">
        <v>7000</v>
      </c>
      <c r="D4" s="8">
        <v>13700</v>
      </c>
    </row>
    <row r="5" spans="1:4" x14ac:dyDescent="0.2">
      <c r="A5" s="7" t="s">
        <v>13</v>
      </c>
      <c r="B5" s="8">
        <v>1100</v>
      </c>
      <c r="C5" s="8">
        <v>10000</v>
      </c>
      <c r="D5" s="8">
        <v>22000</v>
      </c>
    </row>
    <row r="6" spans="1:4" x14ac:dyDescent="0.2">
      <c r="A6" s="7" t="s">
        <v>12</v>
      </c>
      <c r="B6" s="8">
        <v>720</v>
      </c>
      <c r="C6" s="8">
        <v>8000</v>
      </c>
      <c r="D6" s="8">
        <v>14000</v>
      </c>
    </row>
    <row r="7" spans="1:4" x14ac:dyDescent="0.2">
      <c r="A7" s="7" t="s">
        <v>17</v>
      </c>
      <c r="B7" s="8">
        <v>2450</v>
      </c>
      <c r="C7" s="8">
        <v>25000</v>
      </c>
      <c r="D7" s="8">
        <v>49700</v>
      </c>
    </row>
    <row r="11" spans="1:4" x14ac:dyDescent="0.2">
      <c r="B11" s="11" t="s">
        <v>16</v>
      </c>
      <c r="C11" s="11" t="s">
        <v>3</v>
      </c>
      <c r="D11" s="11" t="s">
        <v>15</v>
      </c>
    </row>
    <row r="12" spans="1:4" x14ac:dyDescent="0.2">
      <c r="B12" s="10" t="s">
        <v>14</v>
      </c>
      <c r="C12" s="13">
        <v>7000</v>
      </c>
      <c r="D12" s="13">
        <v>13700</v>
      </c>
    </row>
    <row r="13" spans="1:4" x14ac:dyDescent="0.2">
      <c r="B13" s="10" t="s">
        <v>13</v>
      </c>
      <c r="C13" s="13">
        <v>10000</v>
      </c>
      <c r="D13" s="13">
        <v>22000</v>
      </c>
    </row>
    <row r="14" spans="1:4" x14ac:dyDescent="0.2">
      <c r="B14" s="10" t="s">
        <v>12</v>
      </c>
      <c r="C14" s="13">
        <v>8000</v>
      </c>
      <c r="D14" s="13">
        <v>14000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22A9-FC47-CF44-A453-88D1033FF1DC}">
  <dimension ref="A3:B7"/>
  <sheetViews>
    <sheetView workbookViewId="0">
      <selection activeCell="J18" sqref="J18"/>
    </sheetView>
  </sheetViews>
  <sheetFormatPr baseColWidth="10" defaultRowHeight="16" x14ac:dyDescent="0.2"/>
  <cols>
    <col min="1" max="1" width="13" bestFit="1" customWidth="1"/>
    <col min="2" max="4" width="26.6640625" bestFit="1" customWidth="1"/>
  </cols>
  <sheetData>
    <row r="3" spans="1:2" x14ac:dyDescent="0.2">
      <c r="A3" s="6" t="s">
        <v>16</v>
      </c>
      <c r="B3" t="s">
        <v>27</v>
      </c>
    </row>
    <row r="4" spans="1:2" x14ac:dyDescent="0.2">
      <c r="A4" s="7" t="s">
        <v>14</v>
      </c>
      <c r="B4" s="14">
        <v>95.714285714285722</v>
      </c>
    </row>
    <row r="5" spans="1:2" x14ac:dyDescent="0.2">
      <c r="A5" s="7" t="s">
        <v>13</v>
      </c>
      <c r="B5" s="8">
        <v>120</v>
      </c>
    </row>
    <row r="6" spans="1:2" x14ac:dyDescent="0.2">
      <c r="A6" s="7" t="s">
        <v>12</v>
      </c>
      <c r="B6" s="8">
        <v>75</v>
      </c>
    </row>
    <row r="7" spans="1:2" x14ac:dyDescent="0.2">
      <c r="A7" s="7" t="s">
        <v>17</v>
      </c>
      <c r="B7" s="8">
        <v>98.8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268E-FD31-E64C-B398-8EEABD6E531E}">
  <dimension ref="A3:B8"/>
  <sheetViews>
    <sheetView workbookViewId="0">
      <selection activeCell="K11" sqref="K11"/>
    </sheetView>
  </sheetViews>
  <sheetFormatPr baseColWidth="10" defaultRowHeight="16" x14ac:dyDescent="0.2"/>
  <cols>
    <col min="1" max="1" width="13" bestFit="1" customWidth="1"/>
    <col min="2" max="2" width="7.5" bestFit="1" customWidth="1"/>
    <col min="3" max="4" width="17.6640625" bestFit="1" customWidth="1"/>
  </cols>
  <sheetData>
    <row r="3" spans="1:2" x14ac:dyDescent="0.2">
      <c r="A3" s="6" t="s">
        <v>16</v>
      </c>
      <c r="B3" t="s">
        <v>28</v>
      </c>
    </row>
    <row r="4" spans="1:2" x14ac:dyDescent="0.2">
      <c r="A4" s="7" t="s">
        <v>7</v>
      </c>
      <c r="B4" s="14">
        <v>77.41935483870968</v>
      </c>
    </row>
    <row r="5" spans="1:2" x14ac:dyDescent="0.2">
      <c r="A5" s="7" t="s">
        <v>9</v>
      </c>
      <c r="B5" s="8">
        <v>150</v>
      </c>
    </row>
    <row r="6" spans="1:2" x14ac:dyDescent="0.2">
      <c r="A6" s="7" t="s">
        <v>10</v>
      </c>
      <c r="B6" s="8">
        <v>148</v>
      </c>
    </row>
    <row r="7" spans="1:2" x14ac:dyDescent="0.2">
      <c r="A7" s="7" t="s">
        <v>8</v>
      </c>
      <c r="B7" s="8">
        <v>100</v>
      </c>
    </row>
    <row r="8" spans="1:2" x14ac:dyDescent="0.2">
      <c r="A8" s="7" t="s">
        <v>17</v>
      </c>
      <c r="B8" s="8">
        <v>98.8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26CE-E414-8246-B6F5-E3BC55832139}">
  <dimension ref="A3:F24"/>
  <sheetViews>
    <sheetView workbookViewId="0">
      <selection activeCell="J32" sqref="J32"/>
    </sheetView>
  </sheetViews>
  <sheetFormatPr baseColWidth="10" defaultRowHeight="16" x14ac:dyDescent="0.2"/>
  <cols>
    <col min="1" max="1" width="13" bestFit="1" customWidth="1"/>
    <col min="2" max="2" width="17.5" bestFit="1" customWidth="1"/>
    <col min="3" max="3" width="14.1640625" customWidth="1"/>
    <col min="4" max="4" width="17.5" bestFit="1" customWidth="1"/>
    <col min="5" max="5" width="21.33203125" customWidth="1"/>
    <col min="6" max="6" width="20.33203125" customWidth="1"/>
    <col min="7" max="7" width="22.5" bestFit="1" customWidth="1"/>
  </cols>
  <sheetData>
    <row r="3" spans="1:6" ht="37" customHeight="1" x14ac:dyDescent="0.2">
      <c r="A3" s="22" t="s">
        <v>16</v>
      </c>
      <c r="B3" s="10" t="s">
        <v>18</v>
      </c>
      <c r="C3" s="10" t="s">
        <v>20</v>
      </c>
      <c r="D3" s="10" t="s">
        <v>19</v>
      </c>
      <c r="E3" s="23" t="s">
        <v>35</v>
      </c>
      <c r="F3" s="23" t="s">
        <v>34</v>
      </c>
    </row>
    <row r="4" spans="1:6" x14ac:dyDescent="0.2">
      <c r="A4" s="10" t="s">
        <v>7</v>
      </c>
      <c r="B4" s="13">
        <v>310000</v>
      </c>
      <c r="C4" s="13">
        <v>7700</v>
      </c>
      <c r="D4" s="13">
        <v>1350</v>
      </c>
      <c r="E4" s="21">
        <v>2.4814814814814817E-2</v>
      </c>
      <c r="F4" s="21">
        <v>0.17303030303030301</v>
      </c>
    </row>
    <row r="5" spans="1:6" x14ac:dyDescent="0.2">
      <c r="A5" s="10" t="s">
        <v>9</v>
      </c>
      <c r="B5" s="13">
        <v>95000</v>
      </c>
      <c r="C5" s="13">
        <v>2700</v>
      </c>
      <c r="D5" s="13">
        <v>500</v>
      </c>
      <c r="E5" s="21">
        <v>2.8421052631578948E-2</v>
      </c>
      <c r="F5" s="21">
        <v>0.18518518518518517</v>
      </c>
    </row>
    <row r="6" spans="1:6" x14ac:dyDescent="0.2">
      <c r="A6" s="10" t="s">
        <v>10</v>
      </c>
      <c r="B6" s="13">
        <v>70000</v>
      </c>
      <c r="C6" s="13">
        <v>1900</v>
      </c>
      <c r="D6" s="13">
        <v>280</v>
      </c>
      <c r="E6" s="21">
        <v>2.7142857142857142E-2</v>
      </c>
      <c r="F6" s="21">
        <v>0.14736842105263157</v>
      </c>
    </row>
    <row r="7" spans="1:6" x14ac:dyDescent="0.2">
      <c r="A7" s="10" t="s">
        <v>8</v>
      </c>
      <c r="B7" s="13">
        <v>80000</v>
      </c>
      <c r="C7" s="13">
        <v>1800</v>
      </c>
      <c r="D7" s="13">
        <v>320</v>
      </c>
      <c r="E7" s="21">
        <v>2.2499999999999999E-2</v>
      </c>
      <c r="F7" s="21">
        <v>0.17777777777777778</v>
      </c>
    </row>
    <row r="8" spans="1:6" x14ac:dyDescent="0.2">
      <c r="A8" s="10" t="s">
        <v>17</v>
      </c>
      <c r="B8" s="13">
        <v>555000</v>
      </c>
      <c r="C8" s="13">
        <v>14100</v>
      </c>
      <c r="D8" s="13">
        <v>2450</v>
      </c>
      <c r="E8" s="21">
        <v>2.541805903648009E-2</v>
      </c>
      <c r="F8" s="21">
        <v>0.17157038218441725</v>
      </c>
    </row>
    <row r="13" spans="1:6" ht="29" customHeight="1" x14ac:dyDescent="0.2"/>
    <row r="14" spans="1:6" ht="14" customHeight="1" x14ac:dyDescent="0.2"/>
    <row r="15" spans="1:6" ht="40" customHeight="1" x14ac:dyDescent="0.2">
      <c r="B15" s="10"/>
      <c r="C15" s="21"/>
      <c r="E15" s="12" t="s">
        <v>16</v>
      </c>
      <c r="F15" s="12" t="s">
        <v>34</v>
      </c>
    </row>
    <row r="16" spans="1:6" ht="17" x14ac:dyDescent="0.2">
      <c r="B16" s="10"/>
      <c r="C16" s="21"/>
      <c r="E16" s="23" t="s">
        <v>14</v>
      </c>
      <c r="F16" s="24">
        <v>0.15322966507177033</v>
      </c>
    </row>
    <row r="17" spans="2:6" ht="17" x14ac:dyDescent="0.2">
      <c r="B17" s="10"/>
      <c r="C17" s="21"/>
      <c r="E17" s="23" t="s">
        <v>13</v>
      </c>
      <c r="F17" s="24">
        <v>0.19259259259259259</v>
      </c>
    </row>
    <row r="18" spans="2:6" ht="17" x14ac:dyDescent="0.2">
      <c r="E18" s="23" t="s">
        <v>12</v>
      </c>
      <c r="F18" s="24">
        <v>0.16888888888888889</v>
      </c>
    </row>
    <row r="20" spans="2:6" ht="48" customHeight="1" x14ac:dyDescent="0.2">
      <c r="B20" s="11" t="s">
        <v>16</v>
      </c>
      <c r="C20" s="12" t="s">
        <v>35</v>
      </c>
    </row>
    <row r="21" spans="2:6" x14ac:dyDescent="0.2">
      <c r="B21" s="10" t="s">
        <v>7</v>
      </c>
      <c r="C21" s="21">
        <v>2.4814814814814817E-2</v>
      </c>
    </row>
    <row r="22" spans="2:6" x14ac:dyDescent="0.2">
      <c r="B22" s="10" t="s">
        <v>9</v>
      </c>
      <c r="C22" s="21">
        <v>2.8421052631578948E-2</v>
      </c>
    </row>
    <row r="23" spans="2:6" x14ac:dyDescent="0.2">
      <c r="B23" s="10" t="s">
        <v>10</v>
      </c>
      <c r="C23" s="21">
        <v>2.7142857142857142E-2</v>
      </c>
    </row>
    <row r="24" spans="2:6" x14ac:dyDescent="0.2">
      <c r="B24" s="10" t="s">
        <v>8</v>
      </c>
      <c r="C24" s="21">
        <v>2.2499999999999999E-2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5EE72-3E8F-2743-A27B-B556D6F59E56}">
  <dimension ref="A2:L8"/>
  <sheetViews>
    <sheetView workbookViewId="0">
      <selection activeCell="H5" sqref="H5"/>
    </sheetView>
  </sheetViews>
  <sheetFormatPr baseColWidth="10" defaultRowHeight="16" x14ac:dyDescent="0.2"/>
  <cols>
    <col min="1" max="1" width="19.33203125" customWidth="1"/>
    <col min="2" max="2" width="14.83203125" customWidth="1"/>
    <col min="3" max="3" width="13" customWidth="1"/>
    <col min="4" max="4" width="13.33203125" customWidth="1"/>
    <col min="5" max="5" width="17" customWidth="1"/>
    <col min="6" max="6" width="12.6640625" customWidth="1"/>
    <col min="7" max="7" width="14.6640625" customWidth="1"/>
    <col min="8" max="8" width="8.6640625" customWidth="1"/>
    <col min="9" max="9" width="13.1640625" customWidth="1"/>
    <col min="10" max="11" width="13.33203125" customWidth="1"/>
    <col min="12" max="12" width="12" customWidth="1"/>
  </cols>
  <sheetData>
    <row r="2" spans="1:12" s="1" customFormat="1" ht="61" customHeight="1" x14ac:dyDescent="0.25">
      <c r="A2" s="5" t="s">
        <v>11</v>
      </c>
      <c r="B2" s="5" t="s">
        <v>0</v>
      </c>
      <c r="C2" s="5" t="s">
        <v>1</v>
      </c>
      <c r="D2" s="5" t="s">
        <v>2</v>
      </c>
      <c r="E2" s="5" t="s">
        <v>23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15</v>
      </c>
      <c r="K2" s="5" t="s">
        <v>33</v>
      </c>
      <c r="L2" s="5" t="s">
        <v>26</v>
      </c>
    </row>
    <row r="3" spans="1:12" s="2" customFormat="1" ht="26" customHeight="1" x14ac:dyDescent="0.25">
      <c r="A3" s="3" t="s">
        <v>12</v>
      </c>
      <c r="B3" s="3" t="s">
        <v>7</v>
      </c>
      <c r="C3" s="4">
        <v>44986</v>
      </c>
      <c r="D3" s="4">
        <v>45016</v>
      </c>
      <c r="E3" s="4" t="str">
        <f>TEXT(Table2[[#This Row],[Start Date]], "mmmm yyyy")</f>
        <v>March 2023</v>
      </c>
      <c r="F3" s="3">
        <v>5000</v>
      </c>
      <c r="G3" s="3">
        <v>100000</v>
      </c>
      <c r="H3" s="3">
        <v>2500</v>
      </c>
      <c r="I3" s="3">
        <v>400</v>
      </c>
      <c r="J3" s="3">
        <v>8000</v>
      </c>
      <c r="K3" s="9">
        <f>Table2[[#This Row],[Clicks]]/Table2[[#This Row],[Impressions]]</f>
        <v>2.5000000000000001E-2</v>
      </c>
      <c r="L3" s="9">
        <f>Table2[[#This Row],[Conversions]]/Table2[[#This Row],[Clicks]]</f>
        <v>0.16</v>
      </c>
    </row>
    <row r="4" spans="1:12" s="2" customFormat="1" ht="26" customHeight="1" x14ac:dyDescent="0.25">
      <c r="A4" s="3" t="s">
        <v>12</v>
      </c>
      <c r="B4" s="3" t="s">
        <v>8</v>
      </c>
      <c r="C4" s="4">
        <v>44986</v>
      </c>
      <c r="D4" s="4">
        <v>45016</v>
      </c>
      <c r="E4" s="4" t="str">
        <f>TEXT(Table2[[#This Row],[Start Date]], "mmmm yyyy")</f>
        <v>March 2023</v>
      </c>
      <c r="F4" s="3">
        <v>3000</v>
      </c>
      <c r="G4" s="3">
        <v>80000</v>
      </c>
      <c r="H4" s="3">
        <v>1800</v>
      </c>
      <c r="I4" s="3">
        <v>320</v>
      </c>
      <c r="J4" s="3">
        <v>6000</v>
      </c>
      <c r="K4" s="9">
        <f>Table2[[#This Row],[Clicks]]/Table2[[#This Row],[Impressions]]</f>
        <v>2.2499999999999999E-2</v>
      </c>
      <c r="L4" s="9">
        <f>Table2[[#This Row],[Conversions]]/Table2[[#This Row],[Clicks]]</f>
        <v>0.17777777777777778</v>
      </c>
    </row>
    <row r="5" spans="1:12" s="2" customFormat="1" ht="26" customHeight="1" x14ac:dyDescent="0.25">
      <c r="A5" s="3" t="s">
        <v>13</v>
      </c>
      <c r="B5" s="3" t="s">
        <v>7</v>
      </c>
      <c r="C5" s="4">
        <v>45261</v>
      </c>
      <c r="D5" s="4">
        <v>45291</v>
      </c>
      <c r="E5" s="4" t="str">
        <f>TEXT(Table2[[#This Row],[Start Date]], "mmmm yyyy")</f>
        <v>December 2023</v>
      </c>
      <c r="F5" s="3">
        <v>6000</v>
      </c>
      <c r="G5" s="3">
        <v>120000</v>
      </c>
      <c r="H5" s="3">
        <v>3000</v>
      </c>
      <c r="I5" s="3">
        <v>600</v>
      </c>
      <c r="J5" s="3">
        <v>12000</v>
      </c>
      <c r="K5" s="9">
        <f>Table2[[#This Row],[Clicks]]/Table2[[#This Row],[Impressions]]</f>
        <v>2.5000000000000001E-2</v>
      </c>
      <c r="L5" s="9">
        <f>Table2[[#This Row],[Conversions]]/Table2[[#This Row],[Clicks]]</f>
        <v>0.2</v>
      </c>
    </row>
    <row r="6" spans="1:12" s="2" customFormat="1" ht="26" customHeight="1" x14ac:dyDescent="0.25">
      <c r="A6" s="3" t="s">
        <v>13</v>
      </c>
      <c r="B6" s="3" t="s">
        <v>9</v>
      </c>
      <c r="C6" s="4">
        <v>45261</v>
      </c>
      <c r="D6" s="4">
        <v>45291</v>
      </c>
      <c r="E6" s="4" t="str">
        <f>TEXT(Table2[[#This Row],[Start Date]], "mmmm yyyy")</f>
        <v>December 2023</v>
      </c>
      <c r="F6" s="3">
        <v>4000</v>
      </c>
      <c r="G6" s="3">
        <v>95000</v>
      </c>
      <c r="H6" s="3">
        <v>2700</v>
      </c>
      <c r="I6" s="3">
        <v>500</v>
      </c>
      <c r="J6" s="3">
        <v>10000</v>
      </c>
      <c r="K6" s="9">
        <f>Table2[[#This Row],[Clicks]]/Table2[[#This Row],[Impressions]]</f>
        <v>2.8421052631578948E-2</v>
      </c>
      <c r="L6" s="9">
        <f>Table2[[#This Row],[Conversions]]/Table2[[#This Row],[Clicks]]</f>
        <v>0.18518518518518517</v>
      </c>
    </row>
    <row r="7" spans="1:12" s="2" customFormat="1" ht="26" customHeight="1" x14ac:dyDescent="0.25">
      <c r="A7" s="3" t="s">
        <v>14</v>
      </c>
      <c r="B7" s="3" t="s">
        <v>7</v>
      </c>
      <c r="C7" s="4">
        <v>45139</v>
      </c>
      <c r="D7" s="4">
        <v>45169</v>
      </c>
      <c r="E7" s="4" t="str">
        <f>TEXT(Table2[[#This Row],[Start Date]], "mmmm yyyy")</f>
        <v>August 2023</v>
      </c>
      <c r="F7" s="3">
        <v>4500</v>
      </c>
      <c r="G7" s="3">
        <v>90000</v>
      </c>
      <c r="H7" s="3">
        <v>2200</v>
      </c>
      <c r="I7" s="3">
        <v>350</v>
      </c>
      <c r="J7" s="3">
        <v>7500</v>
      </c>
      <c r="K7" s="9">
        <f>Table2[[#This Row],[Clicks]]/Table2[[#This Row],[Impressions]]</f>
        <v>2.4444444444444446E-2</v>
      </c>
      <c r="L7" s="9">
        <f>Table2[[#This Row],[Conversions]]/Table2[[#This Row],[Clicks]]</f>
        <v>0.15909090909090909</v>
      </c>
    </row>
    <row r="8" spans="1:12" s="2" customFormat="1" ht="26" customHeight="1" x14ac:dyDescent="0.25">
      <c r="A8" s="3" t="s">
        <v>14</v>
      </c>
      <c r="B8" s="3" t="s">
        <v>10</v>
      </c>
      <c r="C8" s="4">
        <v>45139</v>
      </c>
      <c r="D8" s="4">
        <v>45169</v>
      </c>
      <c r="E8" s="4" t="str">
        <f>TEXT(Table2[[#This Row],[Start Date]], "mmmm yyyy")</f>
        <v>August 2023</v>
      </c>
      <c r="F8" s="3">
        <v>2500</v>
      </c>
      <c r="G8" s="3">
        <v>70000</v>
      </c>
      <c r="H8" s="3">
        <v>1900</v>
      </c>
      <c r="I8" s="3">
        <v>280</v>
      </c>
      <c r="J8" s="3">
        <v>6200</v>
      </c>
      <c r="K8" s="9">
        <f>Table2[[#This Row],[Clicks]]/Table2[[#This Row],[Impressions]]</f>
        <v>2.7142857142857142E-2</v>
      </c>
      <c r="L8" s="9">
        <f>Table2[[#This Row],[Conversions]]/Table2[[#This Row],[Clicks]]</f>
        <v>0.14736842105263157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8F7F-FE0D-3E45-A4CD-4C851A3154F0}">
  <dimension ref="A2:F6"/>
  <sheetViews>
    <sheetView tabSelected="1" zoomScale="130" zoomScaleNormal="130" workbookViewId="0">
      <selection activeCell="K5" sqref="K5"/>
    </sheetView>
  </sheetViews>
  <sheetFormatPr baseColWidth="10" defaultRowHeight="16" x14ac:dyDescent="0.2"/>
  <cols>
    <col min="1" max="1" width="8.1640625" customWidth="1"/>
    <col min="2" max="2" width="17" customWidth="1"/>
    <col min="4" max="4" width="8" customWidth="1"/>
    <col min="5" max="5" width="23.83203125" customWidth="1"/>
    <col min="6" max="6" width="12.6640625" customWidth="1"/>
  </cols>
  <sheetData>
    <row r="2" spans="1:6" ht="24" customHeight="1" x14ac:dyDescent="0.25">
      <c r="A2" s="15"/>
      <c r="B2" s="15"/>
      <c r="E2" s="18" t="s">
        <v>32</v>
      </c>
      <c r="F2" s="18" t="s">
        <v>24</v>
      </c>
    </row>
    <row r="3" spans="1:6" ht="24" customHeight="1" x14ac:dyDescent="0.25">
      <c r="A3" s="16"/>
      <c r="B3" s="16"/>
      <c r="E3" s="17" t="s">
        <v>29</v>
      </c>
      <c r="F3" s="19">
        <f>GETPIVOTDATA("Sum of Budget ($)",'Conversions by Campaign '!$A$3)</f>
        <v>25000</v>
      </c>
    </row>
    <row r="4" spans="1:6" ht="24" customHeight="1" x14ac:dyDescent="0.25">
      <c r="A4" s="16"/>
      <c r="B4" s="16"/>
      <c r="E4" s="17" t="s">
        <v>30</v>
      </c>
      <c r="F4" s="20">
        <f>GETPIVOTDATA("Sum of Revenue ($)",'Conversions by Campaign '!$A$3)</f>
        <v>49700</v>
      </c>
    </row>
    <row r="5" spans="1:6" ht="24" customHeight="1" x14ac:dyDescent="0.25">
      <c r="A5" s="16"/>
      <c r="B5" s="16"/>
      <c r="E5" s="17" t="s">
        <v>25</v>
      </c>
      <c r="F5" s="17">
        <f>GETPIVOTDATA("Sum of Conversions",'Conversions by Campaign '!$A$3)</f>
        <v>2450</v>
      </c>
    </row>
    <row r="6" spans="1:6" ht="24" customHeight="1" x14ac:dyDescent="0.25">
      <c r="A6" s="16"/>
      <c r="B6" s="16"/>
      <c r="E6" s="17" t="s">
        <v>31</v>
      </c>
      <c r="F6" s="17">
        <f>GETPIVOTDATA("ROI",'ROI by Campaign'!$A$3)</f>
        <v>98.8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Conversions by Campaign </vt:lpstr>
      <vt:lpstr>ROI by Campaign</vt:lpstr>
      <vt:lpstr>ROI by Channel</vt:lpstr>
      <vt:lpstr>CTR and Conversion Rate</vt:lpstr>
      <vt:lpstr>Marketing Campaign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2025-05-01T13:16:55Z</dcterms:created>
  <dcterms:modified xsi:type="dcterms:W3CDTF">2025-05-02T15:26:55Z</dcterms:modified>
</cp:coreProperties>
</file>